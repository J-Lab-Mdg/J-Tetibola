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laire Aout 2025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3" i="1"/>
  <c r="N24" i="1" l="1"/>
  <c r="J24" i="1"/>
  <c r="P4" i="1" s="1"/>
  <c r="L24" i="1"/>
  <c r="H3" i="1"/>
  <c r="C3" i="1" l="1"/>
  <c r="F3" i="1"/>
  <c r="G3" i="1" l="1"/>
</calcChain>
</file>

<file path=xl/sharedStrings.xml><?xml version="1.0" encoding="utf-8"?>
<sst xmlns="http://schemas.openxmlformats.org/spreadsheetml/2006/main" count="72" uniqueCount="52">
  <si>
    <t>Montant/Vidiny  (Ar)</t>
  </si>
  <si>
    <t>Dépense/Fandaniana</t>
  </si>
  <si>
    <t>Source de revenus/Loharanom-bola</t>
  </si>
  <si>
    <t>Reste/Ambiny</t>
  </si>
  <si>
    <t xml:space="preserve">Fanomezana </t>
  </si>
  <si>
    <t>Retrait</t>
  </si>
  <si>
    <t>Crédit</t>
  </si>
  <si>
    <t xml:space="preserve">Total des déppenses / Fitambaran'ny fandaniana </t>
  </si>
  <si>
    <t xml:space="preserve">Total des revenus/Fitambaran'ny vola miditra </t>
  </si>
  <si>
    <t>DEVIS DE DEPENSE (Aout 2025)</t>
  </si>
  <si>
    <t>Herinandro 5</t>
  </si>
  <si>
    <t>Frais Lucia Moramanga Anosibe</t>
  </si>
  <si>
    <t>Salaire Aout 2025</t>
  </si>
  <si>
    <t>Vary 77 kp * 1000</t>
  </si>
  <si>
    <t xml:space="preserve">Frais Lucia Moramanga </t>
  </si>
  <si>
    <t>Lucia: 30000 ; Juno 10000</t>
  </si>
  <si>
    <t>Lucia 25,26: 10000 ; Juno 25,26: 10000; 27,28: 10000; Fivoriambe: 30000</t>
  </si>
  <si>
    <t>Orange&amp;Telma</t>
  </si>
  <si>
    <t xml:space="preserve">              18 à 24 </t>
  </si>
  <si>
    <t xml:space="preserve">              25 à 31</t>
  </si>
  <si>
    <t xml:space="preserve">              01 à 07</t>
  </si>
  <si>
    <t xml:space="preserve">              08 à 14</t>
  </si>
  <si>
    <t xml:space="preserve">              15 à 21</t>
  </si>
  <si>
    <t>Orange</t>
  </si>
  <si>
    <t xml:space="preserve">Transf Lucia </t>
  </si>
  <si>
    <t>Telma</t>
  </si>
  <si>
    <t>PP Elvana √</t>
  </si>
  <si>
    <t>Hofan-trano √</t>
  </si>
  <si>
    <t>Charbon</t>
  </si>
  <si>
    <t>k</t>
  </si>
  <si>
    <t>Vola misy</t>
  </si>
  <si>
    <t>Fandaniana efa vita</t>
  </si>
  <si>
    <t xml:space="preserve">Fandaniana mbola miandry </t>
  </si>
  <si>
    <t>Ambiny</t>
  </si>
  <si>
    <t>Vidiny</t>
  </si>
  <si>
    <t>Espece</t>
  </si>
  <si>
    <t>Mobile Money</t>
  </si>
  <si>
    <t>Lucia</t>
  </si>
  <si>
    <t>DD Niah</t>
  </si>
  <si>
    <t>Vary 20 kp * 1000</t>
  </si>
  <si>
    <t>Vary 57 kp * 1000</t>
  </si>
  <si>
    <t xml:space="preserve">              18 à 24 Juno</t>
  </si>
  <si>
    <t>Compte part</t>
  </si>
  <si>
    <t>Credit</t>
  </si>
  <si>
    <t xml:space="preserve">              25 à 31 Juno</t>
  </si>
  <si>
    <t xml:space="preserve">Total: </t>
  </si>
  <si>
    <t>Power bank</t>
  </si>
  <si>
    <t>Tablette</t>
  </si>
  <si>
    <t>Ambin'ny 500000</t>
  </si>
  <si>
    <t>Ambin'ny vola misy</t>
  </si>
  <si>
    <t>Ambiny lucia</t>
  </si>
  <si>
    <t>eparge juno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</si>
</sst>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CB02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5D9F"/>
      <name val="Times New Roman"/>
      <family val="1"/>
    </font>
    <font>
      <b/>
      <sz val="11"/>
      <color rgb="FFFF00FF"/>
      <name val="Times New Roman"/>
      <family val="1"/>
    </font>
    <font>
      <sz val="11"/>
      <color theme="1"/>
      <name val="Times New Roman"/>
      <family val="1"/>
    </font>
    <font>
      <b/>
      <u/>
      <sz val="16"/>
      <color rgb="FF0F8487"/>
      <name val="Times New Roman"/>
      <family val="1"/>
    </font>
    <font>
      <b/>
      <sz val="11"/>
      <color theme="9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3" fontId="8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8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8487"/>
      <color rgb="FF48E6EA"/>
      <color rgb="FFFF00FF"/>
      <color rgb="FFFF5D9F"/>
      <color rgb="FF23CBB3"/>
      <color rgb="FF4DDF35"/>
      <color rgb="FF1CB020"/>
      <color rgb="FF00CC00"/>
      <color rgb="FFFD2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topLeftCell="E1" zoomScale="68" zoomScaleNormal="68" workbookViewId="0">
      <selection activeCell="P7" sqref="P7"/>
    </sheetView>
  </sheetViews>
  <sheetFormatPr baseColWidth="10" defaultColWidth="8.7109375" defaultRowHeight="15" x14ac:dyDescent="0.25"/>
  <cols>
    <col min="1" max="1" width="21" customWidth="1"/>
    <col min="2" max="2" width="21.42578125" customWidth="1"/>
    <col min="3" max="3" width="20.28515625" customWidth="1"/>
    <col min="4" max="4" width="30.85546875" customWidth="1"/>
    <col min="5" max="5" width="20.5703125" customWidth="1"/>
    <col min="6" max="6" width="69" customWidth="1"/>
    <col min="7" max="7" width="21.42578125" customWidth="1"/>
    <col min="9" max="9" width="15.7109375" customWidth="1"/>
    <col min="11" max="11" width="20.42578125" customWidth="1"/>
    <col min="13" max="13" width="20.7109375" customWidth="1"/>
    <col min="15" max="15" width="20.28515625" customWidth="1"/>
  </cols>
  <sheetData>
    <row r="1" spans="1:16" ht="42.95" customHeight="1" x14ac:dyDescent="0.25">
      <c r="A1" s="13" t="s">
        <v>9</v>
      </c>
      <c r="B1" s="13"/>
      <c r="C1" s="13"/>
      <c r="D1" s="13"/>
      <c r="E1" s="13"/>
      <c r="F1" s="13"/>
      <c r="G1" s="13"/>
    </row>
    <row r="2" spans="1:16" s="10" customFormat="1" ht="83.45" customHeight="1" x14ac:dyDescent="0.25">
      <c r="A2" s="4" t="s">
        <v>2</v>
      </c>
      <c r="B2" s="7" t="s">
        <v>0</v>
      </c>
      <c r="C2" s="6" t="s">
        <v>8</v>
      </c>
      <c r="D2" s="8" t="s">
        <v>1</v>
      </c>
      <c r="E2" s="9" t="s">
        <v>0</v>
      </c>
      <c r="F2" s="1" t="s">
        <v>7</v>
      </c>
      <c r="G2" s="11" t="s">
        <v>3</v>
      </c>
      <c r="H2" s="10" t="s">
        <v>24</v>
      </c>
      <c r="I2" s="10" t="s">
        <v>30</v>
      </c>
      <c r="J2" s="10" t="s">
        <v>34</v>
      </c>
      <c r="K2" s="10" t="s">
        <v>31</v>
      </c>
      <c r="L2" s="10" t="s">
        <v>34</v>
      </c>
      <c r="M2" s="10" t="s">
        <v>32</v>
      </c>
      <c r="N2" s="10" t="s">
        <v>34</v>
      </c>
      <c r="O2" s="10" t="s">
        <v>33</v>
      </c>
      <c r="P2" s="10" t="s">
        <v>34</v>
      </c>
    </row>
    <row r="3" spans="1:16" x14ac:dyDescent="0.25">
      <c r="A3" s="5" t="s">
        <v>12</v>
      </c>
      <c r="B3" s="3">
        <v>500000</v>
      </c>
      <c r="C3" s="3">
        <f>SUM(B3:B19)</f>
        <v>500000</v>
      </c>
      <c r="D3" s="5" t="s">
        <v>28</v>
      </c>
      <c r="E3" s="3">
        <v>8000</v>
      </c>
      <c r="F3" s="3">
        <f>SUM(E3:E19)</f>
        <v>494000</v>
      </c>
      <c r="G3" s="3">
        <f>(C3-F3)</f>
        <v>6000</v>
      </c>
      <c r="H3">
        <f>E10+E12+40000</f>
        <v>95000</v>
      </c>
      <c r="I3" t="s">
        <v>35</v>
      </c>
      <c r="J3">
        <v>67000</v>
      </c>
      <c r="K3" t="s">
        <v>37</v>
      </c>
      <c r="L3">
        <v>90000</v>
      </c>
      <c r="M3" s="5" t="s">
        <v>40</v>
      </c>
      <c r="N3" s="2">
        <v>57000</v>
      </c>
      <c r="O3" t="s">
        <v>48</v>
      </c>
      <c r="P3">
        <f>500000-L24</f>
        <v>213300</v>
      </c>
    </row>
    <row r="4" spans="1:16" x14ac:dyDescent="0.25">
      <c r="A4" t="s">
        <v>17</v>
      </c>
      <c r="D4" s="12" t="s">
        <v>24</v>
      </c>
      <c r="E4">
        <v>5000</v>
      </c>
      <c r="I4" t="s">
        <v>36</v>
      </c>
      <c r="J4">
        <v>127000</v>
      </c>
      <c r="K4" s="5" t="s">
        <v>28</v>
      </c>
      <c r="L4" s="3">
        <v>8000</v>
      </c>
      <c r="M4" s="5" t="s">
        <v>5</v>
      </c>
      <c r="N4" s="2">
        <v>2000</v>
      </c>
      <c r="O4" t="s">
        <v>49</v>
      </c>
      <c r="P4">
        <f>J24-N24</f>
        <v>-28000</v>
      </c>
    </row>
    <row r="5" spans="1:16" x14ac:dyDescent="0.25">
      <c r="A5" s="5"/>
      <c r="B5" s="3">
        <v>0</v>
      </c>
      <c r="C5" s="2"/>
      <c r="D5" s="5" t="s">
        <v>13</v>
      </c>
      <c r="E5" s="2">
        <v>77000</v>
      </c>
      <c r="F5" s="2"/>
      <c r="G5" s="2"/>
      <c r="I5" t="s">
        <v>38</v>
      </c>
      <c r="J5">
        <v>30000</v>
      </c>
      <c r="K5" s="5" t="s">
        <v>39</v>
      </c>
      <c r="L5" s="2">
        <v>20000</v>
      </c>
      <c r="M5" s="5" t="s">
        <v>19</v>
      </c>
      <c r="N5" s="2">
        <v>40000</v>
      </c>
      <c r="O5" t="s">
        <v>50</v>
      </c>
      <c r="P5">
        <v>42000</v>
      </c>
    </row>
    <row r="6" spans="1:16" x14ac:dyDescent="0.25">
      <c r="A6" s="5"/>
      <c r="B6" s="3">
        <v>0</v>
      </c>
      <c r="C6" s="2"/>
      <c r="D6" s="5" t="s">
        <v>27</v>
      </c>
      <c r="E6" s="2">
        <v>25000</v>
      </c>
      <c r="F6" s="2"/>
      <c r="G6" s="2"/>
      <c r="K6" s="5" t="s">
        <v>27</v>
      </c>
      <c r="L6" s="2">
        <v>25000</v>
      </c>
      <c r="M6" s="5" t="s">
        <v>20</v>
      </c>
      <c r="N6" s="2">
        <v>40000</v>
      </c>
      <c r="O6" t="s">
        <v>51</v>
      </c>
      <c r="P6">
        <f>P5+P4</f>
        <v>14000</v>
      </c>
    </row>
    <row r="7" spans="1:16" x14ac:dyDescent="0.25">
      <c r="A7" s="5"/>
      <c r="B7" s="3">
        <v>0</v>
      </c>
      <c r="C7" s="2"/>
      <c r="D7" s="5" t="s">
        <v>4</v>
      </c>
      <c r="E7" s="2">
        <v>18000</v>
      </c>
      <c r="F7" s="2"/>
      <c r="G7" s="2"/>
      <c r="K7" s="5" t="s">
        <v>5</v>
      </c>
      <c r="L7" s="2">
        <v>5000</v>
      </c>
      <c r="M7" s="5" t="s">
        <v>21</v>
      </c>
      <c r="N7" s="2">
        <v>40000</v>
      </c>
    </row>
    <row r="8" spans="1:16" x14ac:dyDescent="0.25">
      <c r="A8" s="5"/>
      <c r="B8" s="3">
        <v>0</v>
      </c>
      <c r="C8" s="2"/>
      <c r="D8" s="5" t="s">
        <v>5</v>
      </c>
      <c r="E8" s="2">
        <v>5000</v>
      </c>
      <c r="F8" s="2"/>
      <c r="G8" s="2"/>
      <c r="K8" s="5" t="s">
        <v>26</v>
      </c>
      <c r="L8" s="2">
        <v>44000</v>
      </c>
      <c r="M8" s="5" t="s">
        <v>22</v>
      </c>
      <c r="N8" s="2">
        <v>20000</v>
      </c>
    </row>
    <row r="9" spans="1:16" x14ac:dyDescent="0.25">
      <c r="A9" s="5"/>
      <c r="B9" s="3">
        <v>0</v>
      </c>
      <c r="C9" s="2"/>
      <c r="D9" s="5" t="s">
        <v>6</v>
      </c>
      <c r="E9" s="2">
        <v>10000</v>
      </c>
      <c r="F9" s="2"/>
      <c r="G9" s="2"/>
      <c r="K9" s="5" t="s">
        <v>23</v>
      </c>
      <c r="L9" s="2">
        <v>47000</v>
      </c>
      <c r="M9" s="5" t="s">
        <v>41</v>
      </c>
      <c r="N9" s="2">
        <v>10000</v>
      </c>
    </row>
    <row r="10" spans="1:16" x14ac:dyDescent="0.25">
      <c r="A10" s="5"/>
      <c r="B10" s="2">
        <v>0</v>
      </c>
      <c r="C10" s="2"/>
      <c r="D10" s="5" t="s">
        <v>11</v>
      </c>
      <c r="E10" s="2">
        <v>35000</v>
      </c>
      <c r="F10" s="2"/>
      <c r="G10" s="2"/>
      <c r="K10" s="5" t="s">
        <v>25</v>
      </c>
      <c r="L10" s="2">
        <v>36700</v>
      </c>
      <c r="M10" s="5" t="s">
        <v>4</v>
      </c>
      <c r="N10" s="2">
        <v>18000</v>
      </c>
    </row>
    <row r="11" spans="1:16" x14ac:dyDescent="0.25">
      <c r="A11" s="5"/>
      <c r="B11" s="2">
        <v>0</v>
      </c>
      <c r="C11" s="2"/>
      <c r="D11" s="5" t="s">
        <v>26</v>
      </c>
      <c r="E11" s="2">
        <v>44000</v>
      </c>
      <c r="F11" s="2"/>
      <c r="G11" s="2"/>
      <c r="K11" s="5" t="s">
        <v>42</v>
      </c>
      <c r="L11" s="2">
        <v>6000</v>
      </c>
      <c r="M11" s="5" t="s">
        <v>6</v>
      </c>
      <c r="N11" s="2">
        <v>5000</v>
      </c>
    </row>
    <row r="12" spans="1:16" x14ac:dyDescent="0.25">
      <c r="A12" s="5"/>
      <c r="B12" s="2">
        <v>0</v>
      </c>
      <c r="C12" s="2"/>
      <c r="D12" s="5" t="s">
        <v>14</v>
      </c>
      <c r="E12" s="2">
        <v>20000</v>
      </c>
      <c r="F12" s="2"/>
      <c r="G12" s="2"/>
      <c r="K12" s="5" t="s">
        <v>43</v>
      </c>
      <c r="L12" s="2">
        <v>5000</v>
      </c>
      <c r="M12" s="5" t="s">
        <v>44</v>
      </c>
      <c r="N12" s="2">
        <v>10000</v>
      </c>
    </row>
    <row r="13" spans="1:16" x14ac:dyDescent="0.25">
      <c r="A13" s="5"/>
      <c r="B13" s="3">
        <v>0</v>
      </c>
      <c r="C13" s="2"/>
      <c r="D13" s="5" t="s">
        <v>10</v>
      </c>
      <c r="E13" s="3"/>
      <c r="F13" s="2"/>
      <c r="G13" s="2"/>
      <c r="M13" s="5" t="s">
        <v>46</v>
      </c>
      <c r="N13" s="2">
        <v>5000</v>
      </c>
    </row>
    <row r="14" spans="1:16" x14ac:dyDescent="0.25">
      <c r="A14" s="5"/>
      <c r="B14" s="2">
        <v>0</v>
      </c>
      <c r="C14" s="2"/>
      <c r="D14" s="5" t="s">
        <v>18</v>
      </c>
      <c r="E14" s="2">
        <v>40000</v>
      </c>
      <c r="F14" s="2" t="s">
        <v>15</v>
      </c>
      <c r="G14" s="2"/>
      <c r="M14" s="5" t="s">
        <v>47</v>
      </c>
      <c r="N14" s="2">
        <v>5000</v>
      </c>
    </row>
    <row r="15" spans="1:16" x14ac:dyDescent="0.25">
      <c r="A15" s="5"/>
      <c r="B15" s="2">
        <v>0</v>
      </c>
      <c r="C15" s="2"/>
      <c r="D15" s="5" t="s">
        <v>19</v>
      </c>
      <c r="E15" s="2">
        <v>60000</v>
      </c>
      <c r="F15" s="2" t="s">
        <v>16</v>
      </c>
      <c r="G15" s="2"/>
    </row>
    <row r="16" spans="1:16" x14ac:dyDescent="0.25">
      <c r="A16" s="5"/>
      <c r="B16" s="2">
        <v>0</v>
      </c>
      <c r="C16" s="2"/>
      <c r="D16" s="5" t="s">
        <v>20</v>
      </c>
      <c r="E16" s="2">
        <v>40000</v>
      </c>
      <c r="F16" s="2"/>
      <c r="G16" s="2"/>
    </row>
    <row r="17" spans="1:14" x14ac:dyDescent="0.25">
      <c r="A17" s="5"/>
      <c r="B17" s="2">
        <v>0</v>
      </c>
      <c r="C17" s="2"/>
      <c r="D17" s="5" t="s">
        <v>21</v>
      </c>
      <c r="E17" s="2">
        <v>40000</v>
      </c>
      <c r="F17" s="2"/>
      <c r="G17" s="2"/>
    </row>
    <row r="18" spans="1:14" x14ac:dyDescent="0.25">
      <c r="A18" s="5"/>
      <c r="B18" s="2">
        <v>0</v>
      </c>
      <c r="C18" s="2"/>
      <c r="D18" s="5" t="s">
        <v>22</v>
      </c>
      <c r="E18" s="2">
        <v>20000</v>
      </c>
      <c r="F18" s="2"/>
      <c r="G18" s="2"/>
    </row>
    <row r="19" spans="1:14" x14ac:dyDescent="0.25">
      <c r="A19" s="5"/>
      <c r="B19" s="2">
        <v>0</v>
      </c>
      <c r="C19" s="2"/>
      <c r="D19" s="5" t="s">
        <v>23</v>
      </c>
      <c r="E19" s="2">
        <v>47000</v>
      </c>
      <c r="F19" s="2"/>
      <c r="G19" s="2"/>
    </row>
    <row r="20" spans="1:14" x14ac:dyDescent="0.25">
      <c r="D20" s="5" t="s">
        <v>25</v>
      </c>
      <c r="E20" s="2">
        <v>36700</v>
      </c>
    </row>
    <row r="22" spans="1:14" x14ac:dyDescent="0.25">
      <c r="F22" t="s">
        <v>29</v>
      </c>
    </row>
    <row r="24" spans="1:14" x14ac:dyDescent="0.25">
      <c r="I24" s="14" t="s">
        <v>45</v>
      </c>
      <c r="J24">
        <f>SUM(J3:J12)</f>
        <v>224000</v>
      </c>
      <c r="K24" s="14" t="s">
        <v>45</v>
      </c>
      <c r="L24">
        <f>SUM(L3:L12)</f>
        <v>286700</v>
      </c>
      <c r="M24" s="14" t="s">
        <v>45</v>
      </c>
      <c r="N24">
        <f>SUM(N3:N14)</f>
        <v>252000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Salaire Aout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2025-08-21T20:02:34Z</dcterms:modified>
</cp:coreProperties>
</file>